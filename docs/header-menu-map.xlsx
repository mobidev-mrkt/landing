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еню хедера" sheetId="1" state="visible" r:id="rId3"/>
  </sheets>
  <definedNames>
    <definedName function="false" hidden="true" localSheetId="0" name="_xlnm._FilterDatabase" vbProcedure="false">'Меню хедера'!$A$4:$J$63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<sst xmlns="http://schemas.openxmlformats.org/spreadsheetml/2006/main" count="334" uniqueCount="157">
  <si>
    <t xml:space="preserve">Карта меню хедера mobidev.biz</t>
  </si>
  <si>
    <t xml:space="preserve">Джерело: https://mobidev.biz/ (розмітка #menu-header-menu), знято 21.10.2026. «Входжень URL» рахує формула; рядки з дублями підсвічені.</t>
  </si>
  <si>
    <t xml:space="preserve">№</t>
  </si>
  <si>
    <t xml:space="preserve">Розділ</t>
  </si>
  <si>
    <t xml:space="preserve">Група / вкладка</t>
  </si>
  <si>
    <t xml:space="preserve">Назва в меню</t>
  </si>
  <si>
    <t xml:space="preserve">Мітка</t>
  </si>
  <si>
    <t xml:space="preserve">URL</t>
  </si>
  <si>
    <t xml:space="preserve">Тип</t>
  </si>
  <si>
    <t xml:space="preserve">Опис у меню</t>
  </si>
  <si>
    <t xml:space="preserve">Входжень URL</t>
  </si>
  <si>
    <t xml:space="preserve">Примітка</t>
  </si>
  <si>
    <t xml:space="preserve">Services</t>
  </si>
  <si>
    <t xml:space="preserve">—</t>
  </si>
  <si>
    <t xml:space="preserve">Розділ (без посилання)</t>
  </si>
  <si>
    <t xml:space="preserve">Мега-меню з 4 вкладками</t>
  </si>
  <si>
    <t xml:space="preserve">Artificial Intelligence</t>
  </si>
  <si>
    <t xml:space="preserve">TOP</t>
  </si>
  <si>
    <t xml:space="preserve">Вкладка (без посилання)</t>
  </si>
  <si>
    <t xml:space="preserve">Empower your business with AI-driven performance.</t>
  </si>
  <si>
    <t xml:space="preserve">href="#", хаб-сторінки немає</t>
  </si>
  <si>
    <t xml:space="preserve">AI Agents</t>
  </si>
  <si>
    <t xml:space="preserve">HOT</t>
  </si>
  <si>
    <t xml:space="preserve">https://mobidev.biz/services/ai-agent-development</t>
  </si>
  <si>
    <t xml:space="preserve">Пункт</t>
  </si>
  <si>
    <t xml:space="preserve">AI Consulting</t>
  </si>
  <si>
    <t xml:space="preserve">https://mobidev.biz/services/ai-consulting</t>
  </si>
  <si>
    <t xml:space="preserve">AI Development</t>
  </si>
  <si>
    <t xml:space="preserve">https://mobidev.biz/services/artificial-intelligence</t>
  </si>
  <si>
    <t xml:space="preserve">AI Pose Estimation</t>
  </si>
  <si>
    <t xml:space="preserve">https://mobidev.biz/services/human-pose-estimation-app-development</t>
  </si>
  <si>
    <t xml:space="preserve">Rapid MVP Development</t>
  </si>
  <si>
    <t xml:space="preserve">https://mobidev.biz/services/rapid-mvp-development</t>
  </si>
  <si>
    <t xml:space="preserve">Agentic Testing</t>
  </si>
  <si>
    <t xml:space="preserve">https://mobidev.biz/services/ai-agentic-testing</t>
  </si>
  <si>
    <t xml:space="preserve">Consulting</t>
  </si>
  <si>
    <t xml:space="preserve">https://mobidev.biz/services/technology-consulting</t>
  </si>
  <si>
    <t xml:space="preserve">Вкладка</t>
  </si>
  <si>
    <t xml:space="preserve">Leverage our expertise to ensure your tech development strategy aligns with your business goals.</t>
  </si>
  <si>
    <t xml:space="preserve">DS Consulting</t>
  </si>
  <si>
    <t xml:space="preserve">https://mobidev.biz/services/data-science</t>
  </si>
  <si>
    <t xml:space="preserve">Назва «Consulting», а сторінка /data-science</t>
  </si>
  <si>
    <t xml:space="preserve">ML Consulting</t>
  </si>
  <si>
    <t xml:space="preserve">https://mobidev.biz/services/machine-learning-consulting</t>
  </si>
  <si>
    <t xml:space="preserve">AR Consulting</t>
  </si>
  <si>
    <t xml:space="preserve">https://mobidev.biz/services/ar-consulting</t>
  </si>
  <si>
    <t xml:space="preserve">IoT Consulting</t>
  </si>
  <si>
    <t xml:space="preserve">https://mobidev.biz/services/iot-development</t>
  </si>
  <si>
    <t xml:space="preserve">Назва «Consulting», а сторінка /iot-development</t>
  </si>
  <si>
    <t xml:space="preserve">DevOps Consulting</t>
  </si>
  <si>
    <t xml:space="preserve">https://mobidev.biz/services/devops-consulting-and-engineering</t>
  </si>
  <si>
    <t xml:space="preserve">Software Audit</t>
  </si>
  <si>
    <t xml:space="preserve">https://mobidev.biz/services/software-audit</t>
  </si>
  <si>
    <t xml:space="preserve">UX/UI Audit</t>
  </si>
  <si>
    <t xml:space="preserve">https://mobidev.biz/services/ux-ui-design-audit</t>
  </si>
  <si>
    <t xml:space="preserve">Tech Strategy Creation</t>
  </si>
  <si>
    <t xml:space="preserve">https://mobidev.biz/services/tech-strategy-consulting</t>
  </si>
  <si>
    <t xml:space="preserve">Engineering</t>
  </si>
  <si>
    <t xml:space="preserve">https://mobidev.biz/services/software-engineering</t>
  </si>
  <si>
    <t xml:space="preserve">Close your team's skill gap and build high-quality solutions to drive your business success.</t>
  </si>
  <si>
    <t xml:space="preserve">Dedicated Team</t>
  </si>
  <si>
    <t xml:space="preserve">https://mobidev.biz/services/dedicated-development-team</t>
  </si>
  <si>
    <t xml:space="preserve">Team Augmentation</t>
  </si>
  <si>
    <t xml:space="preserve">https://mobidev.biz/services/software-development-team-augmentation</t>
  </si>
  <si>
    <t xml:space="preserve">Augmented Reality</t>
  </si>
  <si>
    <t xml:space="preserve">https://mobidev.biz/services/augmented-reality</t>
  </si>
  <si>
    <t xml:space="preserve">Web Development</t>
  </si>
  <si>
    <t xml:space="preserve">https://mobidev.biz/services/web-application-development</t>
  </si>
  <si>
    <t xml:space="preserve">Mobile Development</t>
  </si>
  <si>
    <t xml:space="preserve">https://mobidev.biz/services/mobile-application-development</t>
  </si>
  <si>
    <t xml:space="preserve">Cloud Migration</t>
  </si>
  <si>
    <t xml:space="preserve">https://mobidev.biz/services/cloud-migration-modernization</t>
  </si>
  <si>
    <t xml:space="preserve">UX/UI Design</t>
  </si>
  <si>
    <t xml:space="preserve">https://mobidev.biz/services/ui-ux-design</t>
  </si>
  <si>
    <t xml:space="preserve">Quality Assurance</t>
  </si>
  <si>
    <t xml:space="preserve">https://mobidev.biz/services/qa-software-testing</t>
  </si>
  <si>
    <t xml:space="preserve">Expertise</t>
  </si>
  <si>
    <t xml:space="preserve">Whether you want to build, scale, or modernize, MobiDev is here to help you implement your project.</t>
  </si>
  <si>
    <t xml:space="preserve">New Product Development</t>
  </si>
  <si>
    <t xml:space="preserve">https://mobidev.biz/services/software-product-development</t>
  </si>
  <si>
    <t xml:space="preserve">Software Product Scaling</t>
  </si>
  <si>
    <t xml:space="preserve">https://mobidev.biz/services/scale-up-software-product</t>
  </si>
  <si>
    <t xml:space="preserve">App Modernization</t>
  </si>
  <si>
    <t xml:space="preserve">https://mobidev.biz/services/application-modernization</t>
  </si>
  <si>
    <t xml:space="preserve">POS Software Development</t>
  </si>
  <si>
    <t xml:space="preserve">https://mobidev.biz/services/pos-software-development</t>
  </si>
  <si>
    <t xml:space="preserve">ERP Software Development</t>
  </si>
  <si>
    <t xml:space="preserve">https://mobidev.biz/services/erp-software-development</t>
  </si>
  <si>
    <t xml:space="preserve">Industries</t>
  </si>
  <si>
    <t xml:space="preserve">5 карток + панель Fitness</t>
  </si>
  <si>
    <t xml:space="preserve">Картки</t>
  </si>
  <si>
    <t xml:space="preserve">Retail</t>
  </si>
  <si>
    <t xml:space="preserve">https://mobidev.biz/services/retail-software-development</t>
  </si>
  <si>
    <t xml:space="preserve">Картка</t>
  </si>
  <si>
    <t xml:space="preserve">Hospitality</t>
  </si>
  <si>
    <t xml:space="preserve">https://mobidev.biz/services/hospitality-software-development</t>
  </si>
  <si>
    <t xml:space="preserve">Sports</t>
  </si>
  <si>
    <t xml:space="preserve">https://mobidev.biz/services/sports-app-development</t>
  </si>
  <si>
    <t xml:space="preserve">Healthcare</t>
  </si>
  <si>
    <t xml:space="preserve">https://mobidev.biz/services/healthcare-app-development</t>
  </si>
  <si>
    <t xml:space="preserve">Manufacturing</t>
  </si>
  <si>
    <t xml:space="preserve">https://mobidev.biz/services/manufacturing-software-development</t>
  </si>
  <si>
    <t xml:space="preserve">Fitness</t>
  </si>
  <si>
    <t xml:space="preserve">https://mobidev.biz/services/fitness-app-development</t>
  </si>
  <si>
    <t xml:space="preserve">Панель</t>
  </si>
  <si>
    <t xml:space="preserve">Відносне посилання</t>
  </si>
  <si>
    <t xml:space="preserve">HPE App Development</t>
  </si>
  <si>
    <t xml:space="preserve">Та сама сторінка, що AI Pose Estimation</t>
  </si>
  <si>
    <t xml:space="preserve">AI Fitness App Development</t>
  </si>
  <si>
    <t xml:space="preserve">https://mobidev.biz/services/ai-fitness-app-development</t>
  </si>
  <si>
    <t xml:space="preserve">Workout App Development</t>
  </si>
  <si>
    <t xml:space="preserve">https://mobidev.biz/services/workout-app-development</t>
  </si>
  <si>
    <t xml:space="preserve">Wearable App Development</t>
  </si>
  <si>
    <t xml:space="preserve">https://mobidev.biz/services/wearable-app-development</t>
  </si>
  <si>
    <t xml:space="preserve">Yoga App Development</t>
  </si>
  <si>
    <t xml:space="preserve">https://mobidev.biz/services/yoga-app-development</t>
  </si>
  <si>
    <t xml:space="preserve">AI Fitness Coach App Development</t>
  </si>
  <si>
    <t xml:space="preserve">https://mobidev.biz/services/ai-fitness-coach-development</t>
  </si>
  <si>
    <t xml:space="preserve">Case Studies</t>
  </si>
  <si>
    <t xml:space="preserve">https://mobidev.biz/case-studies</t>
  </si>
  <si>
    <t xml:space="preserve">We have built, modernized, and scaled software for clients around the world since 2009.</t>
  </si>
  <si>
    <t xml:space="preserve">Промо-панель: 9.1 NPS (2025 Client Survey) · 400+ клієнтів · 5+ років утримання; кнопка «Read our case studies» веде сюди ж</t>
  </si>
  <si>
    <t xml:space="preserve">Testimonials</t>
  </si>
  <si>
    <t xml:space="preserve">https://mobidev.biz/clients-and-testimonials</t>
  </si>
  <si>
    <t xml:space="preserve">Пряме посилання без підменю</t>
  </si>
  <si>
    <t xml:space="preserve">Company</t>
  </si>
  <si>
    <t xml:space="preserve">About us</t>
  </si>
  <si>
    <t xml:space="preserve">https://mobidev.biz/our-team</t>
  </si>
  <si>
    <t xml:space="preserve">Find out more about our team, our core values and our approaches to work.</t>
  </si>
  <si>
    <t xml:space="preserve">Learn what MobiDev clients have to say about working with us.</t>
  </si>
  <si>
    <t xml:space="preserve">Events</t>
  </si>
  <si>
    <t xml:space="preserve">https://mobidev.biz/meet-us-events</t>
  </si>
  <si>
    <t xml:space="preserve">Ready to network? Meet us at the upcoming events worldwide.</t>
  </si>
  <si>
    <t xml:space="preserve">News</t>
  </si>
  <si>
    <t xml:space="preserve">https://mobidev.biz/category/newsroom</t>
  </si>
  <si>
    <t xml:space="preserve">Read the latest company news and announcements.</t>
  </si>
  <si>
    <t xml:space="preserve">Careers</t>
  </si>
  <si>
    <t xml:space="preserve">https://mobidev.biz/vacancies</t>
  </si>
  <si>
    <t xml:space="preserve">Become part of MobiDev team &amp; build software of the future.</t>
  </si>
  <si>
    <t xml:space="preserve">Insights</t>
  </si>
  <si>
    <t xml:space="preserve">Learn how to solve critical business challenges and achieve business goals with tech innovations.</t>
  </si>
  <si>
    <t xml:space="preserve">Blog</t>
  </si>
  <si>
    <t xml:space="preserve">https://mobidev.biz/trends-and-insights</t>
  </si>
  <si>
    <t xml:space="preserve">Get valuable insights on software development, modernization &amp; scaling.</t>
  </si>
  <si>
    <t xml:space="preserve">Webinars</t>
  </si>
  <si>
    <t xml:space="preserve">https://mobidev.biz/webinars</t>
  </si>
  <si>
    <t xml:space="preserve">Discover MobiDev webinars on tech trends, modernization, and innovation.</t>
  </si>
  <si>
    <t xml:space="preserve">Knowledge Hub</t>
  </si>
  <si>
    <t xml:space="preserve">https://mobidev.biz/knowledge-hub</t>
  </si>
  <si>
    <t xml:space="preserve">Get in-depth reports, development roadmaps, and checklists.</t>
  </si>
  <si>
    <t xml:space="preserve">CONTACT US</t>
  </si>
  <si>
    <t xml:space="preserve">https://mobidev.biz/contact-us</t>
  </si>
  <si>
    <t xml:space="preserve">Кнопка (CTA)</t>
  </si>
  <si>
    <t xml:space="preserve">Усього рядків</t>
  </si>
  <si>
    <t xml:space="preserve">Рядків з посиланням</t>
  </si>
  <si>
    <t xml:space="preserve">Унікальних URL</t>
  </si>
  <si>
    <t xml:space="preserve">Рядків з дублем URL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</si>
</sst>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A5C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u val="single"/>
      <sz val="10"/>
      <color rgb="FF12B29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7F7F7"/>
        <bgColor rgb="FFFFFFFF"/>
      </patternFill>
    </fill>
    <fill>
      <patternFill patternType="solid">
        <fgColor rgb="FF4AD57B"/>
        <bgColor rgb="FF12B292"/>
      </patternFill>
    </fill>
    <fill>
      <patternFill patternType="solid">
        <fgColor rgb="FFE8590C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6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2222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AD57B"/>
          <bgColor rgb="FF000000"/>
        </patternFill>
      </fill>
    </dxf>
    <dxf>
      <fill>
        <patternFill patternType="solid">
          <fgColor rgb="FFE8590C"/>
          <bgColor rgb="FF000000"/>
        </patternFill>
      </fill>
    </dxf>
    <dxf>
      <fill>
        <patternFill patternType="solid">
          <fgColor rgb="FF12B292"/>
          <bgColor rgb="FF000000"/>
        </patternFill>
      </fill>
    </dxf>
    <dxf>
      <fill>
        <patternFill>
          <bgColor rgb="FFFFF3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6E5"/>
      <rgbColor rgb="FFFFFF99"/>
      <rgbColor rgb="FF99CCFF"/>
      <rgbColor rgb="FFFF99CC"/>
      <rgbColor rgb="FFCC99FF"/>
      <rgbColor rgb="FFFFCC99"/>
      <rgbColor rgb="FF3366FF"/>
      <rgbColor rgb="FF4AD57B"/>
      <rgbColor rgb="FF99CC00"/>
      <rgbColor rgb="FFFFCC00"/>
      <rgbColor rgb="FFFF9900"/>
      <rgbColor rgb="FFE8590C"/>
      <rgbColor rgb="FF5A5C5B"/>
      <rgbColor rgb="FF969696"/>
      <rgbColor rgb="FF003366"/>
      <rgbColor rgb="FF12B292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bidev.biz/services/ai-agent-development" TargetMode="External"/><Relationship Id="rId2" Type="http://schemas.openxmlformats.org/officeDocument/2006/relationships/hyperlink" Target="https://mobidev.biz/services/ai-consulting" TargetMode="External"/><Relationship Id="rId3" Type="http://schemas.openxmlformats.org/officeDocument/2006/relationships/hyperlink" Target="https://mobidev.biz/services/artificial-intelligence" TargetMode="External"/><Relationship Id="rId4" Type="http://schemas.openxmlformats.org/officeDocument/2006/relationships/hyperlink" Target="https://mobidev.biz/services/human-pose-estimation-app-development" TargetMode="External"/><Relationship Id="rId5" Type="http://schemas.openxmlformats.org/officeDocument/2006/relationships/hyperlink" Target="https://mobidev.biz/services/rapid-mvp-development" TargetMode="External"/><Relationship Id="rId6" Type="http://schemas.openxmlformats.org/officeDocument/2006/relationships/hyperlink" Target="https://mobidev.biz/services/ai-agentic-testing" TargetMode="External"/><Relationship Id="rId7" Type="http://schemas.openxmlformats.org/officeDocument/2006/relationships/hyperlink" Target="https://mobidev.biz/services/technology-consulting" TargetMode="External"/><Relationship Id="rId8" Type="http://schemas.openxmlformats.org/officeDocument/2006/relationships/hyperlink" Target="https://mobidev.biz/services/data-science" TargetMode="External"/><Relationship Id="rId9" Type="http://schemas.openxmlformats.org/officeDocument/2006/relationships/hyperlink" Target="https://mobidev.biz/services/machine-learning-consulting" TargetMode="External"/><Relationship Id="rId10" Type="http://schemas.openxmlformats.org/officeDocument/2006/relationships/hyperlink" Target="https://mobidev.biz/services/ar-consulting" TargetMode="External"/><Relationship Id="rId11" Type="http://schemas.openxmlformats.org/officeDocument/2006/relationships/hyperlink" Target="https://mobidev.biz/services/iot-development" TargetMode="External"/><Relationship Id="rId12" Type="http://schemas.openxmlformats.org/officeDocument/2006/relationships/hyperlink" Target="https://mobidev.biz/services/devops-consulting-and-engineering" TargetMode="External"/><Relationship Id="rId13" Type="http://schemas.openxmlformats.org/officeDocument/2006/relationships/hyperlink" Target="https://mobidev.biz/services/software-audit" TargetMode="External"/><Relationship Id="rId14" Type="http://schemas.openxmlformats.org/officeDocument/2006/relationships/hyperlink" Target="https://mobidev.biz/services/ux-ui-design-audit" TargetMode="External"/><Relationship Id="rId15" Type="http://schemas.openxmlformats.org/officeDocument/2006/relationships/hyperlink" Target="https://mobidev.biz/services/tech-strategy-consulting" TargetMode="External"/><Relationship Id="rId16" Type="http://schemas.openxmlformats.org/officeDocument/2006/relationships/hyperlink" Target="https://mobidev.biz/services/software-engineering" TargetMode="External"/><Relationship Id="rId17" Type="http://schemas.openxmlformats.org/officeDocument/2006/relationships/hyperlink" Target="https://mobidev.biz/services/dedicated-development-team" TargetMode="External"/><Relationship Id="rId18" Type="http://schemas.openxmlformats.org/officeDocument/2006/relationships/hyperlink" Target="https://mobidev.biz/services/software-development-team-augmentation" TargetMode="External"/><Relationship Id="rId19" Type="http://schemas.openxmlformats.org/officeDocument/2006/relationships/hyperlink" Target="https://mobidev.biz/services/augmented-reality" TargetMode="External"/><Relationship Id="rId20" Type="http://schemas.openxmlformats.org/officeDocument/2006/relationships/hyperlink" Target="https://mobidev.biz/services/web-application-development" TargetMode="External"/><Relationship Id="rId21" Type="http://schemas.openxmlformats.org/officeDocument/2006/relationships/hyperlink" Target="https://mobidev.biz/services/mobile-application-development" TargetMode="External"/><Relationship Id="rId22" Type="http://schemas.openxmlformats.org/officeDocument/2006/relationships/hyperlink" Target="https://mobidev.biz/services/cloud-migration-modernization" TargetMode="External"/><Relationship Id="rId23" Type="http://schemas.openxmlformats.org/officeDocument/2006/relationships/hyperlink" Target="https://mobidev.biz/services/ui-ux-design" TargetMode="External"/><Relationship Id="rId24" Type="http://schemas.openxmlformats.org/officeDocument/2006/relationships/hyperlink" Target="https://mobidev.biz/services/qa-software-testing" TargetMode="External"/><Relationship Id="rId25" Type="http://schemas.openxmlformats.org/officeDocument/2006/relationships/hyperlink" Target="https://mobidev.biz/services/software-product-development" TargetMode="External"/><Relationship Id="rId26" Type="http://schemas.openxmlformats.org/officeDocument/2006/relationships/hyperlink" Target="https://mobidev.biz/services/scale-up-software-product" TargetMode="External"/><Relationship Id="rId27" Type="http://schemas.openxmlformats.org/officeDocument/2006/relationships/hyperlink" Target="https://mobidev.biz/services/application-modernization" TargetMode="External"/><Relationship Id="rId28" Type="http://schemas.openxmlformats.org/officeDocument/2006/relationships/hyperlink" Target="https://mobidev.biz/services/pos-software-development" TargetMode="External"/><Relationship Id="rId29" Type="http://schemas.openxmlformats.org/officeDocument/2006/relationships/hyperlink" Target="https://mobidev.biz/services/erp-software-development" TargetMode="External"/><Relationship Id="rId30" Type="http://schemas.openxmlformats.org/officeDocument/2006/relationships/hyperlink" Target="https://mobidev.biz/services/human-pose-estimation-app-development" TargetMode="External"/><Relationship Id="rId31" Type="http://schemas.openxmlformats.org/officeDocument/2006/relationships/hyperlink" Target="https://mobidev.biz/services/retail-software-development" TargetMode="External"/><Relationship Id="rId32" Type="http://schemas.openxmlformats.org/officeDocument/2006/relationships/hyperlink" Target="https://mobidev.biz/services/hospitality-software-development" TargetMode="External"/><Relationship Id="rId33" Type="http://schemas.openxmlformats.org/officeDocument/2006/relationships/hyperlink" Target="https://mobidev.biz/services/sports-app-development" TargetMode="External"/><Relationship Id="rId34" Type="http://schemas.openxmlformats.org/officeDocument/2006/relationships/hyperlink" Target="https://mobidev.biz/services/healthcare-app-development" TargetMode="External"/><Relationship Id="rId35" Type="http://schemas.openxmlformats.org/officeDocument/2006/relationships/hyperlink" Target="https://mobidev.biz/services/manufacturing-software-development" TargetMode="External"/><Relationship Id="rId36" Type="http://schemas.openxmlformats.org/officeDocument/2006/relationships/hyperlink" Target="https://mobidev.biz/services/fitness-app-development" TargetMode="External"/><Relationship Id="rId37" Type="http://schemas.openxmlformats.org/officeDocument/2006/relationships/hyperlink" Target="https://mobidev.biz/services/human-pose-estimation-app-development" TargetMode="External"/><Relationship Id="rId38" Type="http://schemas.openxmlformats.org/officeDocument/2006/relationships/hyperlink" Target="https://mobidev.biz/services/ai-fitness-app-development" TargetMode="External"/><Relationship Id="rId39" Type="http://schemas.openxmlformats.org/officeDocument/2006/relationships/hyperlink" Target="https://mobidev.biz/services/workout-app-development" TargetMode="External"/><Relationship Id="rId40" Type="http://schemas.openxmlformats.org/officeDocument/2006/relationships/hyperlink" Target="https://mobidev.biz/services/wearable-app-development" TargetMode="External"/><Relationship Id="rId41" Type="http://schemas.openxmlformats.org/officeDocument/2006/relationships/hyperlink" Target="https://mobidev.biz/services/yoga-app-development" TargetMode="External"/><Relationship Id="rId42" Type="http://schemas.openxmlformats.org/officeDocument/2006/relationships/hyperlink" Target="https://mobidev.biz/services/ai-fitness-coach-development" TargetMode="External"/><Relationship Id="rId43" Type="http://schemas.openxmlformats.org/officeDocument/2006/relationships/hyperlink" Target="https://mobidev.biz/case-studies" TargetMode="External"/><Relationship Id="rId44" Type="http://schemas.openxmlformats.org/officeDocument/2006/relationships/hyperlink" Target="https://mobidev.biz/clients-and-testimonials" TargetMode="External"/><Relationship Id="rId45" Type="http://schemas.openxmlformats.org/officeDocument/2006/relationships/hyperlink" Target="https://mobidev.biz/our-team" TargetMode="External"/><Relationship Id="rId46" Type="http://schemas.openxmlformats.org/officeDocument/2006/relationships/hyperlink" Target="https://mobidev.biz/clients-and-testimonials" TargetMode="External"/><Relationship Id="rId47" Type="http://schemas.openxmlformats.org/officeDocument/2006/relationships/hyperlink" Target="https://mobidev.biz/meet-us-events" TargetMode="External"/><Relationship Id="rId48" Type="http://schemas.openxmlformats.org/officeDocument/2006/relationships/hyperlink" Target="https://mobidev.biz/category/newsroom" TargetMode="External"/><Relationship Id="rId49" Type="http://schemas.openxmlformats.org/officeDocument/2006/relationships/hyperlink" Target="https://mobidev.biz/vacancies" TargetMode="External"/><Relationship Id="rId50" Type="http://schemas.openxmlformats.org/officeDocument/2006/relationships/hyperlink" Target="https://mobidev.biz/trends-and-insights" TargetMode="External"/><Relationship Id="rId51" Type="http://schemas.openxmlformats.org/officeDocument/2006/relationships/hyperlink" Target="https://mobidev.biz/webinars" TargetMode="External"/><Relationship Id="rId52" Type="http://schemas.openxmlformats.org/officeDocument/2006/relationships/hyperlink" Target="https://mobidev.biz/knowledge-hub" TargetMode="External"/><Relationship Id="rId53" Type="http://schemas.openxmlformats.org/officeDocument/2006/relationships/hyperlink" Target="https://mobidev.biz/contact-us" TargetMode="External"/><Relationship Id="rId5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7"/>
    <col collapsed="false" customWidth="true" hidden="false" outlineLevel="0" max="6" min="6" style="0" width="62"/>
    <col collapsed="false" customWidth="true" hidden="false" outlineLevel="0" max="7" min="7" style="0" width="22"/>
    <col collapsed="false" customWidth="true" hidden="false" outlineLevel="0" max="8" min="8" style="0" width="60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12</v>
      </c>
      <c r="E5" s="4"/>
      <c r="F5" s="4"/>
      <c r="G5" s="4" t="s">
        <v>14</v>
      </c>
      <c r="H5" s="5"/>
      <c r="I5" s="6" t="str">
        <f aca="false">IF(F5="","",COUNTIF($F$5:$F$63,F5))</f>
        <v/>
      </c>
      <c r="J5" s="5" t="s">
        <v>15</v>
      </c>
    </row>
    <row r="6" customFormat="false" ht="15" hidden="false" customHeight="false" outlineLevel="0" collapsed="false">
      <c r="A6" s="7" t="n">
        <v>2</v>
      </c>
      <c r="B6" s="7" t="s">
        <v>12</v>
      </c>
      <c r="C6" s="7" t="s">
        <v>16</v>
      </c>
      <c r="D6" s="7" t="s">
        <v>16</v>
      </c>
      <c r="E6" s="8" t="s">
        <v>17</v>
      </c>
      <c r="F6" s="7"/>
      <c r="G6" s="7" t="s">
        <v>18</v>
      </c>
      <c r="H6" s="9" t="s">
        <v>19</v>
      </c>
      <c r="I6" s="10" t="str">
        <f aca="false">IF(F6="","",COUNTIF($F$5:$F$63,F6))</f>
        <v/>
      </c>
      <c r="J6" s="9" t="s">
        <v>20</v>
      </c>
    </row>
    <row r="7" customFormat="false" ht="15" hidden="false" customHeight="false" outlineLevel="0" collapsed="false">
      <c r="A7" s="7" t="n">
        <v>3</v>
      </c>
      <c r="B7" s="7" t="s">
        <v>12</v>
      </c>
      <c r="C7" s="7" t="s">
        <v>16</v>
      </c>
      <c r="D7" s="7" t="s">
        <v>21</v>
      </c>
      <c r="E7" s="11" t="s">
        <v>22</v>
      </c>
      <c r="F7" s="12" t="s">
        <v>23</v>
      </c>
      <c r="G7" s="7" t="s">
        <v>24</v>
      </c>
      <c r="H7" s="9"/>
      <c r="I7" s="10" t="n">
        <f aca="false">IF(F7="","",COUNTIF($F$5:$F$63,F7))</f>
        <v>1</v>
      </c>
      <c r="J7" s="9"/>
    </row>
    <row r="8" customFormat="false" ht="15" hidden="false" customHeight="false" outlineLevel="0" collapsed="false">
      <c r="A8" s="7" t="n">
        <v>4</v>
      </c>
      <c r="B8" s="7" t="s">
        <v>12</v>
      </c>
      <c r="C8" s="7" t="s">
        <v>16</v>
      </c>
      <c r="D8" s="7" t="s">
        <v>25</v>
      </c>
      <c r="E8" s="7"/>
      <c r="F8" s="12" t="s">
        <v>26</v>
      </c>
      <c r="G8" s="7" t="s">
        <v>24</v>
      </c>
      <c r="H8" s="9"/>
      <c r="I8" s="10" t="n">
        <f aca="false">IF(F8="","",COUNTIF($F$5:$F$63,F8))</f>
        <v>1</v>
      </c>
      <c r="J8" s="9"/>
    </row>
    <row r="9" customFormat="false" ht="15" hidden="false" customHeight="false" outlineLevel="0" collapsed="false">
      <c r="A9" s="7" t="n">
        <v>5</v>
      </c>
      <c r="B9" s="7" t="s">
        <v>12</v>
      </c>
      <c r="C9" s="7" t="s">
        <v>16</v>
      </c>
      <c r="D9" s="7" t="s">
        <v>27</v>
      </c>
      <c r="E9" s="7"/>
      <c r="F9" s="12" t="s">
        <v>28</v>
      </c>
      <c r="G9" s="7" t="s">
        <v>24</v>
      </c>
      <c r="H9" s="9"/>
      <c r="I9" s="10" t="n">
        <f aca="false">IF(F9="","",COUNTIF($F$5:$F$63,F9))</f>
        <v>1</v>
      </c>
      <c r="J9" s="9"/>
    </row>
    <row r="10" customFormat="false" ht="15" hidden="false" customHeight="false" outlineLevel="0" collapsed="false">
      <c r="A10" s="7" t="n">
        <v>6</v>
      </c>
      <c r="B10" s="7" t="s">
        <v>12</v>
      </c>
      <c r="C10" s="7" t="s">
        <v>16</v>
      </c>
      <c r="D10" s="7" t="s">
        <v>29</v>
      </c>
      <c r="E10" s="11" t="s">
        <v>22</v>
      </c>
      <c r="F10" s="12" t="s">
        <v>30</v>
      </c>
      <c r="G10" s="7" t="s">
        <v>24</v>
      </c>
      <c r="H10" s="9"/>
      <c r="I10" s="10" t="n">
        <f aca="false">IF(F10="","",COUNTIF($F$5:$F$63,F10))</f>
        <v>3</v>
      </c>
      <c r="J10" s="9"/>
    </row>
    <row r="11" customFormat="false" ht="15" hidden="false" customHeight="false" outlineLevel="0" collapsed="false">
      <c r="A11" s="7" t="n">
        <v>7</v>
      </c>
      <c r="B11" s="7" t="s">
        <v>12</v>
      </c>
      <c r="C11" s="7" t="s">
        <v>16</v>
      </c>
      <c r="D11" s="7" t="s">
        <v>31</v>
      </c>
      <c r="E11" s="7"/>
      <c r="F11" s="12" t="s">
        <v>32</v>
      </c>
      <c r="G11" s="7" t="s">
        <v>24</v>
      </c>
      <c r="H11" s="9"/>
      <c r="I11" s="10" t="n">
        <f aca="false">IF(F11="","",COUNTIF($F$5:$F$63,F11))</f>
        <v>1</v>
      </c>
      <c r="J11" s="9"/>
    </row>
    <row r="12" customFormat="false" ht="15" hidden="false" customHeight="false" outlineLevel="0" collapsed="false">
      <c r="A12" s="7" t="n">
        <v>8</v>
      </c>
      <c r="B12" s="7" t="s">
        <v>12</v>
      </c>
      <c r="C12" s="7" t="s">
        <v>16</v>
      </c>
      <c r="D12" s="7" t="s">
        <v>33</v>
      </c>
      <c r="E12" s="7"/>
      <c r="F12" s="12" t="s">
        <v>34</v>
      </c>
      <c r="G12" s="7" t="s">
        <v>24</v>
      </c>
      <c r="H12" s="9"/>
      <c r="I12" s="10" t="n">
        <f aca="false">IF(F12="","",COUNTIF($F$5:$F$63,F12))</f>
        <v>1</v>
      </c>
      <c r="J12" s="9"/>
    </row>
    <row r="13" customFormat="false" ht="23.85" hidden="false" customHeight="false" outlineLevel="0" collapsed="false">
      <c r="A13" s="7" t="n">
        <v>9</v>
      </c>
      <c r="B13" s="7" t="s">
        <v>12</v>
      </c>
      <c r="C13" s="7" t="s">
        <v>35</v>
      </c>
      <c r="D13" s="7" t="s">
        <v>35</v>
      </c>
      <c r="E13" s="7"/>
      <c r="F13" s="12" t="s">
        <v>36</v>
      </c>
      <c r="G13" s="7" t="s">
        <v>37</v>
      </c>
      <c r="H13" s="9" t="s">
        <v>38</v>
      </c>
      <c r="I13" s="10" t="n">
        <f aca="false">IF(F13="","",COUNTIF($F$5:$F$63,F13))</f>
        <v>1</v>
      </c>
      <c r="J13" s="9"/>
    </row>
    <row r="14" customFormat="false" ht="15" hidden="false" customHeight="false" outlineLevel="0" collapsed="false">
      <c r="A14" s="7" t="n">
        <v>10</v>
      </c>
      <c r="B14" s="7" t="s">
        <v>12</v>
      </c>
      <c r="C14" s="7" t="s">
        <v>35</v>
      </c>
      <c r="D14" s="7" t="s">
        <v>39</v>
      </c>
      <c r="E14" s="7"/>
      <c r="F14" s="12" t="s">
        <v>40</v>
      </c>
      <c r="G14" s="7" t="s">
        <v>24</v>
      </c>
      <c r="H14" s="9"/>
      <c r="I14" s="10" t="n">
        <f aca="false">IF(F14="","",COUNTIF($F$5:$F$63,F14))</f>
        <v>1</v>
      </c>
      <c r="J14" s="9" t="s">
        <v>41</v>
      </c>
    </row>
    <row r="15" customFormat="false" ht="15" hidden="false" customHeight="false" outlineLevel="0" collapsed="false">
      <c r="A15" s="7" t="n">
        <v>11</v>
      </c>
      <c r="B15" s="7" t="s">
        <v>12</v>
      </c>
      <c r="C15" s="7" t="s">
        <v>35</v>
      </c>
      <c r="D15" s="7" t="s">
        <v>42</v>
      </c>
      <c r="E15" s="7"/>
      <c r="F15" s="12" t="s">
        <v>43</v>
      </c>
      <c r="G15" s="7" t="s">
        <v>24</v>
      </c>
      <c r="H15" s="9"/>
      <c r="I15" s="10" t="n">
        <f aca="false">IF(F15="","",COUNTIF($F$5:$F$63,F15))</f>
        <v>1</v>
      </c>
      <c r="J15" s="9"/>
    </row>
    <row r="16" customFormat="false" ht="15" hidden="false" customHeight="false" outlineLevel="0" collapsed="false">
      <c r="A16" s="7" t="n">
        <v>12</v>
      </c>
      <c r="B16" s="7" t="s">
        <v>12</v>
      </c>
      <c r="C16" s="7" t="s">
        <v>35</v>
      </c>
      <c r="D16" s="7" t="s">
        <v>44</v>
      </c>
      <c r="E16" s="7"/>
      <c r="F16" s="12" t="s">
        <v>45</v>
      </c>
      <c r="G16" s="7" t="s">
        <v>24</v>
      </c>
      <c r="H16" s="9"/>
      <c r="I16" s="10" t="n">
        <f aca="false">IF(F16="","",COUNTIF($F$5:$F$63,F16))</f>
        <v>1</v>
      </c>
      <c r="J16" s="9"/>
    </row>
    <row r="17" customFormat="false" ht="15" hidden="false" customHeight="false" outlineLevel="0" collapsed="false">
      <c r="A17" s="7" t="n">
        <v>13</v>
      </c>
      <c r="B17" s="7" t="s">
        <v>12</v>
      </c>
      <c r="C17" s="7" t="s">
        <v>35</v>
      </c>
      <c r="D17" s="7" t="s">
        <v>46</v>
      </c>
      <c r="E17" s="7"/>
      <c r="F17" s="12" t="s">
        <v>47</v>
      </c>
      <c r="G17" s="7" t="s">
        <v>24</v>
      </c>
      <c r="H17" s="9"/>
      <c r="I17" s="10" t="n">
        <f aca="false">IF(F17="","",COUNTIF($F$5:$F$63,F17))</f>
        <v>1</v>
      </c>
      <c r="J17" s="9" t="s">
        <v>48</v>
      </c>
    </row>
    <row r="18" customFormat="false" ht="15" hidden="false" customHeight="false" outlineLevel="0" collapsed="false">
      <c r="A18" s="7" t="n">
        <v>14</v>
      </c>
      <c r="B18" s="7" t="s">
        <v>12</v>
      </c>
      <c r="C18" s="7" t="s">
        <v>35</v>
      </c>
      <c r="D18" s="7" t="s">
        <v>49</v>
      </c>
      <c r="E18" s="7"/>
      <c r="F18" s="12" t="s">
        <v>50</v>
      </c>
      <c r="G18" s="7" t="s">
        <v>24</v>
      </c>
      <c r="H18" s="9"/>
      <c r="I18" s="10" t="n">
        <f aca="false">IF(F18="","",COUNTIF($F$5:$F$63,F18))</f>
        <v>1</v>
      </c>
      <c r="J18" s="9"/>
    </row>
    <row r="19" customFormat="false" ht="15" hidden="false" customHeight="false" outlineLevel="0" collapsed="false">
      <c r="A19" s="7" t="n">
        <v>15</v>
      </c>
      <c r="B19" s="7" t="s">
        <v>12</v>
      </c>
      <c r="C19" s="7" t="s">
        <v>35</v>
      </c>
      <c r="D19" s="7" t="s">
        <v>51</v>
      </c>
      <c r="E19" s="7"/>
      <c r="F19" s="12" t="s">
        <v>52</v>
      </c>
      <c r="G19" s="7" t="s">
        <v>24</v>
      </c>
      <c r="H19" s="9"/>
      <c r="I19" s="10" t="n">
        <f aca="false">IF(F19="","",COUNTIF($F$5:$F$63,F19))</f>
        <v>1</v>
      </c>
      <c r="J19" s="9"/>
    </row>
    <row r="20" customFormat="false" ht="15" hidden="false" customHeight="false" outlineLevel="0" collapsed="false">
      <c r="A20" s="7" t="n">
        <v>16</v>
      </c>
      <c r="B20" s="7" t="s">
        <v>12</v>
      </c>
      <c r="C20" s="7" t="s">
        <v>35</v>
      </c>
      <c r="D20" s="7" t="s">
        <v>53</v>
      </c>
      <c r="E20" s="7"/>
      <c r="F20" s="12" t="s">
        <v>54</v>
      </c>
      <c r="G20" s="7" t="s">
        <v>24</v>
      </c>
      <c r="H20" s="9"/>
      <c r="I20" s="10" t="n">
        <f aca="false">IF(F20="","",COUNTIF($F$5:$F$63,F20))</f>
        <v>1</v>
      </c>
      <c r="J20" s="9"/>
    </row>
    <row r="21" customFormat="false" ht="15" hidden="false" customHeight="false" outlineLevel="0" collapsed="false">
      <c r="A21" s="7" t="n">
        <v>17</v>
      </c>
      <c r="B21" s="7" t="s">
        <v>12</v>
      </c>
      <c r="C21" s="7" t="s">
        <v>35</v>
      </c>
      <c r="D21" s="7" t="s">
        <v>55</v>
      </c>
      <c r="E21" s="7"/>
      <c r="F21" s="12" t="s">
        <v>56</v>
      </c>
      <c r="G21" s="7" t="s">
        <v>24</v>
      </c>
      <c r="H21" s="9"/>
      <c r="I21" s="10" t="n">
        <f aca="false">IF(F21="","",COUNTIF($F$5:$F$63,F21))</f>
        <v>1</v>
      </c>
      <c r="J21" s="9"/>
    </row>
    <row r="22" customFormat="false" ht="23.85" hidden="false" customHeight="false" outlineLevel="0" collapsed="false">
      <c r="A22" s="7" t="n">
        <v>18</v>
      </c>
      <c r="B22" s="7" t="s">
        <v>12</v>
      </c>
      <c r="C22" s="7" t="s">
        <v>57</v>
      </c>
      <c r="D22" s="7" t="s">
        <v>57</v>
      </c>
      <c r="E22" s="7"/>
      <c r="F22" s="12" t="s">
        <v>58</v>
      </c>
      <c r="G22" s="7" t="s">
        <v>37</v>
      </c>
      <c r="H22" s="9" t="s">
        <v>59</v>
      </c>
      <c r="I22" s="10" t="n">
        <f aca="false">IF(F22="","",COUNTIF($F$5:$F$63,F22))</f>
        <v>1</v>
      </c>
      <c r="J22" s="9"/>
    </row>
    <row r="23" customFormat="false" ht="15" hidden="false" customHeight="false" outlineLevel="0" collapsed="false">
      <c r="A23" s="7" t="n">
        <v>19</v>
      </c>
      <c r="B23" s="7" t="s">
        <v>12</v>
      </c>
      <c r="C23" s="7" t="s">
        <v>57</v>
      </c>
      <c r="D23" s="7" t="s">
        <v>60</v>
      </c>
      <c r="E23" s="7"/>
      <c r="F23" s="12" t="s">
        <v>61</v>
      </c>
      <c r="G23" s="7" t="s">
        <v>24</v>
      </c>
      <c r="H23" s="9"/>
      <c r="I23" s="10" t="n">
        <f aca="false">IF(F23="","",COUNTIF($F$5:$F$63,F23))</f>
        <v>1</v>
      </c>
      <c r="J23" s="9"/>
    </row>
    <row r="24" customFormat="false" ht="15" hidden="false" customHeight="false" outlineLevel="0" collapsed="false">
      <c r="A24" s="7" t="n">
        <v>20</v>
      </c>
      <c r="B24" s="7" t="s">
        <v>12</v>
      </c>
      <c r="C24" s="7" t="s">
        <v>57</v>
      </c>
      <c r="D24" s="7" t="s">
        <v>62</v>
      </c>
      <c r="E24" s="7"/>
      <c r="F24" s="12" t="s">
        <v>63</v>
      </c>
      <c r="G24" s="7" t="s">
        <v>24</v>
      </c>
      <c r="H24" s="9"/>
      <c r="I24" s="10" t="n">
        <f aca="false">IF(F24="","",COUNTIF($F$5:$F$63,F24))</f>
        <v>1</v>
      </c>
      <c r="J24" s="9"/>
    </row>
    <row r="25" customFormat="false" ht="15" hidden="false" customHeight="false" outlineLevel="0" collapsed="false">
      <c r="A25" s="7" t="n">
        <v>21</v>
      </c>
      <c r="B25" s="7" t="s">
        <v>12</v>
      </c>
      <c r="C25" s="7" t="s">
        <v>57</v>
      </c>
      <c r="D25" s="7" t="s">
        <v>64</v>
      </c>
      <c r="E25" s="7"/>
      <c r="F25" s="12" t="s">
        <v>65</v>
      </c>
      <c r="G25" s="7" t="s">
        <v>24</v>
      </c>
      <c r="H25" s="9"/>
      <c r="I25" s="10" t="n">
        <f aca="false">IF(F25="","",COUNTIF($F$5:$F$63,F25))</f>
        <v>1</v>
      </c>
      <c r="J25" s="9"/>
    </row>
    <row r="26" customFormat="false" ht="15" hidden="false" customHeight="false" outlineLevel="0" collapsed="false">
      <c r="A26" s="7" t="n">
        <v>22</v>
      </c>
      <c r="B26" s="7" t="s">
        <v>12</v>
      </c>
      <c r="C26" s="7" t="s">
        <v>57</v>
      </c>
      <c r="D26" s="7" t="s">
        <v>66</v>
      </c>
      <c r="E26" s="7"/>
      <c r="F26" s="12" t="s">
        <v>67</v>
      </c>
      <c r="G26" s="7" t="s">
        <v>24</v>
      </c>
      <c r="H26" s="9"/>
      <c r="I26" s="10" t="n">
        <f aca="false">IF(F26="","",COUNTIF($F$5:$F$63,F26))</f>
        <v>1</v>
      </c>
      <c r="J26" s="9"/>
    </row>
    <row r="27" customFormat="false" ht="15" hidden="false" customHeight="false" outlineLevel="0" collapsed="false">
      <c r="A27" s="7" t="n">
        <v>23</v>
      </c>
      <c r="B27" s="7" t="s">
        <v>12</v>
      </c>
      <c r="C27" s="7" t="s">
        <v>57</v>
      </c>
      <c r="D27" s="7" t="s">
        <v>68</v>
      </c>
      <c r="E27" s="7"/>
      <c r="F27" s="12" t="s">
        <v>69</v>
      </c>
      <c r="G27" s="7" t="s">
        <v>24</v>
      </c>
      <c r="H27" s="9"/>
      <c r="I27" s="10" t="n">
        <f aca="false">IF(F27="","",COUNTIF($F$5:$F$63,F27))</f>
        <v>1</v>
      </c>
      <c r="J27" s="9"/>
    </row>
    <row r="28" customFormat="false" ht="15" hidden="false" customHeight="false" outlineLevel="0" collapsed="false">
      <c r="A28" s="7" t="n">
        <v>24</v>
      </c>
      <c r="B28" s="7" t="s">
        <v>12</v>
      </c>
      <c r="C28" s="7" t="s">
        <v>57</v>
      </c>
      <c r="D28" s="7" t="s">
        <v>70</v>
      </c>
      <c r="E28" s="7"/>
      <c r="F28" s="12" t="s">
        <v>71</v>
      </c>
      <c r="G28" s="7" t="s">
        <v>24</v>
      </c>
      <c r="H28" s="9"/>
      <c r="I28" s="10" t="n">
        <f aca="false">IF(F28="","",COUNTIF($F$5:$F$63,F28))</f>
        <v>1</v>
      </c>
      <c r="J28" s="9"/>
    </row>
    <row r="29" customFormat="false" ht="15" hidden="false" customHeight="false" outlineLevel="0" collapsed="false">
      <c r="A29" s="7" t="n">
        <v>25</v>
      </c>
      <c r="B29" s="7" t="s">
        <v>12</v>
      </c>
      <c r="C29" s="7" t="s">
        <v>57</v>
      </c>
      <c r="D29" s="7" t="s">
        <v>72</v>
      </c>
      <c r="E29" s="7"/>
      <c r="F29" s="12" t="s">
        <v>73</v>
      </c>
      <c r="G29" s="7" t="s">
        <v>24</v>
      </c>
      <c r="H29" s="9"/>
      <c r="I29" s="10" t="n">
        <f aca="false">IF(F29="","",COUNTIF($F$5:$F$63,F29))</f>
        <v>1</v>
      </c>
      <c r="J29" s="9"/>
    </row>
    <row r="30" customFormat="false" ht="15" hidden="false" customHeight="false" outlineLevel="0" collapsed="false">
      <c r="A30" s="7" t="n">
        <v>26</v>
      </c>
      <c r="B30" s="7" t="s">
        <v>12</v>
      </c>
      <c r="C30" s="7" t="s">
        <v>57</v>
      </c>
      <c r="D30" s="7" t="s">
        <v>74</v>
      </c>
      <c r="E30" s="7"/>
      <c r="F30" s="12" t="s">
        <v>75</v>
      </c>
      <c r="G30" s="7" t="s">
        <v>24</v>
      </c>
      <c r="H30" s="9"/>
      <c r="I30" s="10" t="n">
        <f aca="false">IF(F30="","",COUNTIF($F$5:$F$63,F30))</f>
        <v>1</v>
      </c>
      <c r="J30" s="9"/>
    </row>
    <row r="31" customFormat="false" ht="23.85" hidden="false" customHeight="false" outlineLevel="0" collapsed="false">
      <c r="A31" s="7" t="n">
        <v>27</v>
      </c>
      <c r="B31" s="7" t="s">
        <v>12</v>
      </c>
      <c r="C31" s="7" t="s">
        <v>76</v>
      </c>
      <c r="D31" s="7" t="s">
        <v>76</v>
      </c>
      <c r="E31" s="7"/>
      <c r="F31" s="7"/>
      <c r="G31" s="7" t="s">
        <v>18</v>
      </c>
      <c r="H31" s="9" t="s">
        <v>77</v>
      </c>
      <c r="I31" s="10" t="str">
        <f aca="false">IF(F31="","",COUNTIF($F$5:$F$63,F31))</f>
        <v/>
      </c>
      <c r="J31" s="9" t="s">
        <v>20</v>
      </c>
    </row>
    <row r="32" customFormat="false" ht="15" hidden="false" customHeight="false" outlineLevel="0" collapsed="false">
      <c r="A32" s="7" t="n">
        <v>28</v>
      </c>
      <c r="B32" s="7" t="s">
        <v>12</v>
      </c>
      <c r="C32" s="7" t="s">
        <v>76</v>
      </c>
      <c r="D32" s="7" t="s">
        <v>78</v>
      </c>
      <c r="E32" s="7"/>
      <c r="F32" s="12" t="s">
        <v>79</v>
      </c>
      <c r="G32" s="7" t="s">
        <v>24</v>
      </c>
      <c r="H32" s="9"/>
      <c r="I32" s="10" t="n">
        <f aca="false">IF(F32="","",COUNTIF($F$5:$F$63,F32))</f>
        <v>1</v>
      </c>
      <c r="J32" s="9"/>
    </row>
    <row r="33" customFormat="false" ht="15" hidden="false" customHeight="false" outlineLevel="0" collapsed="false">
      <c r="A33" s="7" t="n">
        <v>29</v>
      </c>
      <c r="B33" s="7" t="s">
        <v>12</v>
      </c>
      <c r="C33" s="7" t="s">
        <v>76</v>
      </c>
      <c r="D33" s="7" t="s">
        <v>80</v>
      </c>
      <c r="E33" s="7"/>
      <c r="F33" s="12" t="s">
        <v>81</v>
      </c>
      <c r="G33" s="7" t="s">
        <v>24</v>
      </c>
      <c r="H33" s="9"/>
      <c r="I33" s="10" t="n">
        <f aca="false">IF(F33="","",COUNTIF($F$5:$F$63,F33))</f>
        <v>1</v>
      </c>
      <c r="J33" s="9"/>
    </row>
    <row r="34" customFormat="false" ht="15" hidden="false" customHeight="false" outlineLevel="0" collapsed="false">
      <c r="A34" s="7" t="n">
        <v>30</v>
      </c>
      <c r="B34" s="7" t="s">
        <v>12</v>
      </c>
      <c r="C34" s="7" t="s">
        <v>76</v>
      </c>
      <c r="D34" s="7" t="s">
        <v>82</v>
      </c>
      <c r="E34" s="7"/>
      <c r="F34" s="12" t="s">
        <v>83</v>
      </c>
      <c r="G34" s="7" t="s">
        <v>24</v>
      </c>
      <c r="H34" s="9"/>
      <c r="I34" s="10" t="n">
        <f aca="false">IF(F34="","",COUNTIF($F$5:$F$63,F34))</f>
        <v>1</v>
      </c>
      <c r="J34" s="9"/>
    </row>
    <row r="35" customFormat="false" ht="15" hidden="false" customHeight="false" outlineLevel="0" collapsed="false">
      <c r="A35" s="7" t="n">
        <v>31</v>
      </c>
      <c r="B35" s="7" t="s">
        <v>12</v>
      </c>
      <c r="C35" s="7" t="s">
        <v>76</v>
      </c>
      <c r="D35" s="7" t="s">
        <v>84</v>
      </c>
      <c r="E35" s="7"/>
      <c r="F35" s="12" t="s">
        <v>85</v>
      </c>
      <c r="G35" s="7" t="s">
        <v>24</v>
      </c>
      <c r="H35" s="9"/>
      <c r="I35" s="10" t="n">
        <f aca="false">IF(F35="","",COUNTIF($F$5:$F$63,F35))</f>
        <v>1</v>
      </c>
      <c r="J35" s="9"/>
    </row>
    <row r="36" customFormat="false" ht="15" hidden="false" customHeight="false" outlineLevel="0" collapsed="false">
      <c r="A36" s="7" t="n">
        <v>32</v>
      </c>
      <c r="B36" s="7" t="s">
        <v>12</v>
      </c>
      <c r="C36" s="7" t="s">
        <v>76</v>
      </c>
      <c r="D36" s="7" t="s">
        <v>86</v>
      </c>
      <c r="E36" s="7"/>
      <c r="F36" s="12" t="s">
        <v>87</v>
      </c>
      <c r="G36" s="7" t="s">
        <v>24</v>
      </c>
      <c r="H36" s="9"/>
      <c r="I36" s="10" t="n">
        <f aca="false">IF(F36="","",COUNTIF($F$5:$F$63,F36))</f>
        <v>1</v>
      </c>
      <c r="J36" s="9"/>
    </row>
    <row r="37" customFormat="false" ht="15" hidden="false" customHeight="false" outlineLevel="0" collapsed="false">
      <c r="A37" s="7" t="n">
        <v>33</v>
      </c>
      <c r="B37" s="7" t="s">
        <v>12</v>
      </c>
      <c r="C37" s="7" t="s">
        <v>76</v>
      </c>
      <c r="D37" s="7" t="s">
        <v>29</v>
      </c>
      <c r="E37" s="11" t="s">
        <v>22</v>
      </c>
      <c r="F37" s="12" t="s">
        <v>30</v>
      </c>
      <c r="G37" s="7" t="s">
        <v>24</v>
      </c>
      <c r="H37" s="9"/>
      <c r="I37" s="10" t="n">
        <f aca="false">IF(F37="","",COUNTIF($F$5:$F$63,F37))</f>
        <v>3</v>
      </c>
      <c r="J37" s="9"/>
    </row>
    <row r="38" customFormat="false" ht="15" hidden="false" customHeight="false" outlineLevel="0" collapsed="false">
      <c r="A38" s="4" t="n">
        <v>34</v>
      </c>
      <c r="B38" s="4" t="s">
        <v>88</v>
      </c>
      <c r="C38" s="4" t="s">
        <v>13</v>
      </c>
      <c r="D38" s="4" t="s">
        <v>88</v>
      </c>
      <c r="E38" s="4"/>
      <c r="F38" s="4"/>
      <c r="G38" s="4" t="s">
        <v>14</v>
      </c>
      <c r="H38" s="5"/>
      <c r="I38" s="6" t="str">
        <f aca="false">IF(F38="","",COUNTIF($F$5:$F$63,F38))</f>
        <v/>
      </c>
      <c r="J38" s="5" t="s">
        <v>89</v>
      </c>
    </row>
    <row r="39" customFormat="false" ht="15" hidden="false" customHeight="false" outlineLevel="0" collapsed="false">
      <c r="A39" s="7" t="n">
        <v>35</v>
      </c>
      <c r="B39" s="7" t="s">
        <v>88</v>
      </c>
      <c r="C39" s="7" t="s">
        <v>90</v>
      </c>
      <c r="D39" s="7" t="s">
        <v>91</v>
      </c>
      <c r="E39" s="7"/>
      <c r="F39" s="12" t="s">
        <v>92</v>
      </c>
      <c r="G39" s="7" t="s">
        <v>93</v>
      </c>
      <c r="H39" s="9"/>
      <c r="I39" s="10" t="n">
        <f aca="false">IF(F39="","",COUNTIF($F$5:$F$63,F39))</f>
        <v>1</v>
      </c>
      <c r="J39" s="9"/>
    </row>
    <row r="40" customFormat="false" ht="15" hidden="false" customHeight="false" outlineLevel="0" collapsed="false">
      <c r="A40" s="7" t="n">
        <v>36</v>
      </c>
      <c r="B40" s="7" t="s">
        <v>88</v>
      </c>
      <c r="C40" s="7" t="s">
        <v>90</v>
      </c>
      <c r="D40" s="7" t="s">
        <v>94</v>
      </c>
      <c r="E40" s="7"/>
      <c r="F40" s="12" t="s">
        <v>95</v>
      </c>
      <c r="G40" s="7" t="s">
        <v>93</v>
      </c>
      <c r="H40" s="9"/>
      <c r="I40" s="10" t="n">
        <f aca="false">IF(F40="","",COUNTIF($F$5:$F$63,F40))</f>
        <v>1</v>
      </c>
      <c r="J40" s="9"/>
    </row>
    <row r="41" customFormat="false" ht="15" hidden="false" customHeight="false" outlineLevel="0" collapsed="false">
      <c r="A41" s="7" t="n">
        <v>37</v>
      </c>
      <c r="B41" s="7" t="s">
        <v>88</v>
      </c>
      <c r="C41" s="7" t="s">
        <v>90</v>
      </c>
      <c r="D41" s="7" t="s">
        <v>96</v>
      </c>
      <c r="E41" s="8" t="s">
        <v>17</v>
      </c>
      <c r="F41" s="12" t="s">
        <v>97</v>
      </c>
      <c r="G41" s="7" t="s">
        <v>93</v>
      </c>
      <c r="H41" s="9"/>
      <c r="I41" s="10" t="n">
        <f aca="false">IF(F41="","",COUNTIF($F$5:$F$63,F41))</f>
        <v>1</v>
      </c>
      <c r="J41" s="9"/>
    </row>
    <row r="42" customFormat="false" ht="15" hidden="false" customHeight="false" outlineLevel="0" collapsed="false">
      <c r="A42" s="7" t="n">
        <v>38</v>
      </c>
      <c r="B42" s="7" t="s">
        <v>88</v>
      </c>
      <c r="C42" s="7" t="s">
        <v>90</v>
      </c>
      <c r="D42" s="7" t="s">
        <v>98</v>
      </c>
      <c r="E42" s="7"/>
      <c r="F42" s="12" t="s">
        <v>99</v>
      </c>
      <c r="G42" s="7" t="s">
        <v>93</v>
      </c>
      <c r="H42" s="9"/>
      <c r="I42" s="10" t="n">
        <f aca="false">IF(F42="","",COUNTIF($F$5:$F$63,F42))</f>
        <v>1</v>
      </c>
      <c r="J42" s="9"/>
    </row>
    <row r="43" customFormat="false" ht="15" hidden="false" customHeight="false" outlineLevel="0" collapsed="false">
      <c r="A43" s="7" t="n">
        <v>39</v>
      </c>
      <c r="B43" s="7" t="s">
        <v>88</v>
      </c>
      <c r="C43" s="7" t="s">
        <v>90</v>
      </c>
      <c r="D43" s="7" t="s">
        <v>100</v>
      </c>
      <c r="E43" s="7"/>
      <c r="F43" s="12" t="s">
        <v>101</v>
      </c>
      <c r="G43" s="7" t="s">
        <v>93</v>
      </c>
      <c r="H43" s="9"/>
      <c r="I43" s="10" t="n">
        <f aca="false">IF(F43="","",COUNTIF($F$5:$F$63,F43))</f>
        <v>1</v>
      </c>
      <c r="J43" s="9"/>
    </row>
    <row r="44" customFormat="false" ht="15" hidden="false" customHeight="false" outlineLevel="0" collapsed="false">
      <c r="A44" s="7" t="n">
        <v>40</v>
      </c>
      <c r="B44" s="7" t="s">
        <v>88</v>
      </c>
      <c r="C44" s="7" t="s">
        <v>102</v>
      </c>
      <c r="D44" s="7" t="s">
        <v>102</v>
      </c>
      <c r="E44" s="7"/>
      <c r="F44" s="12" t="s">
        <v>103</v>
      </c>
      <c r="G44" s="7" t="s">
        <v>104</v>
      </c>
      <c r="H44" s="9"/>
      <c r="I44" s="10" t="n">
        <f aca="false">IF(F44="","",COUNTIF($F$5:$F$63,F44))</f>
        <v>1</v>
      </c>
      <c r="J44" s="9" t="s">
        <v>105</v>
      </c>
    </row>
    <row r="45" customFormat="false" ht="15" hidden="false" customHeight="false" outlineLevel="0" collapsed="false">
      <c r="A45" s="7" t="n">
        <v>41</v>
      </c>
      <c r="B45" s="7" t="s">
        <v>88</v>
      </c>
      <c r="C45" s="7" t="s">
        <v>102</v>
      </c>
      <c r="D45" s="7" t="s">
        <v>106</v>
      </c>
      <c r="E45" s="7"/>
      <c r="F45" s="12" t="s">
        <v>30</v>
      </c>
      <c r="G45" s="7" t="s">
        <v>24</v>
      </c>
      <c r="H45" s="9"/>
      <c r="I45" s="10" t="n">
        <f aca="false">IF(F45="","",COUNTIF($F$5:$F$63,F45))</f>
        <v>3</v>
      </c>
      <c r="J45" s="9" t="s">
        <v>107</v>
      </c>
    </row>
    <row r="46" customFormat="false" ht="15" hidden="false" customHeight="false" outlineLevel="0" collapsed="false">
      <c r="A46" s="7" t="n">
        <v>42</v>
      </c>
      <c r="B46" s="7" t="s">
        <v>88</v>
      </c>
      <c r="C46" s="7" t="s">
        <v>102</v>
      </c>
      <c r="D46" s="7" t="s">
        <v>108</v>
      </c>
      <c r="E46" s="7"/>
      <c r="F46" s="12" t="s">
        <v>109</v>
      </c>
      <c r="G46" s="7" t="s">
        <v>24</v>
      </c>
      <c r="H46" s="9"/>
      <c r="I46" s="10" t="n">
        <f aca="false">IF(F46="","",COUNTIF($F$5:$F$63,F46))</f>
        <v>1</v>
      </c>
      <c r="J46" s="9"/>
    </row>
    <row r="47" customFormat="false" ht="15" hidden="false" customHeight="false" outlineLevel="0" collapsed="false">
      <c r="A47" s="7" t="n">
        <v>43</v>
      </c>
      <c r="B47" s="7" t="s">
        <v>88</v>
      </c>
      <c r="C47" s="7" t="s">
        <v>102</v>
      </c>
      <c r="D47" s="7" t="s">
        <v>110</v>
      </c>
      <c r="E47" s="7"/>
      <c r="F47" s="12" t="s">
        <v>111</v>
      </c>
      <c r="G47" s="7" t="s">
        <v>24</v>
      </c>
      <c r="H47" s="9"/>
      <c r="I47" s="10" t="n">
        <f aca="false">IF(F47="","",COUNTIF($F$5:$F$63,F47))</f>
        <v>1</v>
      </c>
      <c r="J47" s="9"/>
    </row>
    <row r="48" customFormat="false" ht="15" hidden="false" customHeight="false" outlineLevel="0" collapsed="false">
      <c r="A48" s="7" t="n">
        <v>44</v>
      </c>
      <c r="B48" s="7" t="s">
        <v>88</v>
      </c>
      <c r="C48" s="7" t="s">
        <v>102</v>
      </c>
      <c r="D48" s="7" t="s">
        <v>112</v>
      </c>
      <c r="E48" s="7"/>
      <c r="F48" s="12" t="s">
        <v>113</v>
      </c>
      <c r="G48" s="7" t="s">
        <v>24</v>
      </c>
      <c r="H48" s="9"/>
      <c r="I48" s="10" t="n">
        <f aca="false">IF(F48="","",COUNTIF($F$5:$F$63,F48))</f>
        <v>1</v>
      </c>
      <c r="J48" s="9"/>
    </row>
    <row r="49" customFormat="false" ht="15" hidden="false" customHeight="false" outlineLevel="0" collapsed="false">
      <c r="A49" s="7" t="n">
        <v>45</v>
      </c>
      <c r="B49" s="7" t="s">
        <v>88</v>
      </c>
      <c r="C49" s="7" t="s">
        <v>102</v>
      </c>
      <c r="D49" s="7" t="s">
        <v>114</v>
      </c>
      <c r="E49" s="7"/>
      <c r="F49" s="12" t="s">
        <v>115</v>
      </c>
      <c r="G49" s="7" t="s">
        <v>24</v>
      </c>
      <c r="H49" s="9"/>
      <c r="I49" s="10" t="n">
        <f aca="false">IF(F49="","",COUNTIF($F$5:$F$63,F49))</f>
        <v>1</v>
      </c>
      <c r="J49" s="9"/>
    </row>
    <row r="50" customFormat="false" ht="15" hidden="false" customHeight="false" outlineLevel="0" collapsed="false">
      <c r="A50" s="7" t="n">
        <v>46</v>
      </c>
      <c r="B50" s="7" t="s">
        <v>88</v>
      </c>
      <c r="C50" s="7" t="s">
        <v>102</v>
      </c>
      <c r="D50" s="7" t="s">
        <v>116</v>
      </c>
      <c r="E50" s="7"/>
      <c r="F50" s="12" t="s">
        <v>117</v>
      </c>
      <c r="G50" s="7" t="s">
        <v>24</v>
      </c>
      <c r="H50" s="9"/>
      <c r="I50" s="10" t="n">
        <f aca="false">IF(F50="","",COUNTIF($F$5:$F$63,F50))</f>
        <v>1</v>
      </c>
      <c r="J50" s="9"/>
    </row>
    <row r="51" customFormat="false" ht="35.05" hidden="false" customHeight="false" outlineLevel="0" collapsed="false">
      <c r="A51" s="4" t="n">
        <v>47</v>
      </c>
      <c r="B51" s="4" t="s">
        <v>118</v>
      </c>
      <c r="C51" s="4" t="s">
        <v>13</v>
      </c>
      <c r="D51" s="4" t="s">
        <v>118</v>
      </c>
      <c r="E51" s="4"/>
      <c r="F51" s="13" t="s">
        <v>119</v>
      </c>
      <c r="G51" s="4" t="s">
        <v>3</v>
      </c>
      <c r="H51" s="5" t="s">
        <v>120</v>
      </c>
      <c r="I51" s="6" t="n">
        <f aca="false">IF(F51="","",COUNTIF($F$5:$F$63,F51))</f>
        <v>1</v>
      </c>
      <c r="J51" s="5" t="s">
        <v>121</v>
      </c>
    </row>
    <row r="52" customFormat="false" ht="15" hidden="false" customHeight="false" outlineLevel="0" collapsed="false">
      <c r="A52" s="4" t="n">
        <v>48</v>
      </c>
      <c r="B52" s="4" t="s">
        <v>122</v>
      </c>
      <c r="C52" s="4" t="s">
        <v>13</v>
      </c>
      <c r="D52" s="4" t="s">
        <v>122</v>
      </c>
      <c r="E52" s="4"/>
      <c r="F52" s="13" t="s">
        <v>123</v>
      </c>
      <c r="G52" s="4" t="s">
        <v>3</v>
      </c>
      <c r="H52" s="5"/>
      <c r="I52" s="6" t="n">
        <f aca="false">IF(F52="","",COUNTIF($F$5:$F$63,F52))</f>
        <v>2</v>
      </c>
      <c r="J52" s="5" t="s">
        <v>124</v>
      </c>
    </row>
    <row r="53" customFormat="false" ht="15" hidden="false" customHeight="false" outlineLevel="0" collapsed="false">
      <c r="A53" s="4" t="n">
        <v>49</v>
      </c>
      <c r="B53" s="4" t="s">
        <v>125</v>
      </c>
      <c r="C53" s="4" t="s">
        <v>13</v>
      </c>
      <c r="D53" s="4" t="s">
        <v>125</v>
      </c>
      <c r="E53" s="4"/>
      <c r="F53" s="4"/>
      <c r="G53" s="4" t="s">
        <v>14</v>
      </c>
      <c r="H53" s="5"/>
      <c r="I53" s="6" t="str">
        <f aca="false">IF(F53="","",COUNTIF($F$5:$F$63,F53))</f>
        <v/>
      </c>
      <c r="J53" s="5"/>
    </row>
    <row r="54" customFormat="false" ht="23.85" hidden="false" customHeight="false" outlineLevel="0" collapsed="false">
      <c r="A54" s="7" t="n">
        <v>50</v>
      </c>
      <c r="B54" s="7" t="s">
        <v>125</v>
      </c>
      <c r="C54" s="7" t="s">
        <v>13</v>
      </c>
      <c r="D54" s="7" t="s">
        <v>126</v>
      </c>
      <c r="E54" s="7"/>
      <c r="F54" s="12" t="s">
        <v>127</v>
      </c>
      <c r="G54" s="7" t="s">
        <v>24</v>
      </c>
      <c r="H54" s="9" t="s">
        <v>128</v>
      </c>
      <c r="I54" s="10" t="n">
        <f aca="false">IF(F54="","",COUNTIF($F$5:$F$63,F54))</f>
        <v>1</v>
      </c>
      <c r="J54" s="9"/>
    </row>
    <row r="55" customFormat="false" ht="15" hidden="false" customHeight="false" outlineLevel="0" collapsed="false">
      <c r="A55" s="7" t="n">
        <v>51</v>
      </c>
      <c r="B55" s="7" t="s">
        <v>125</v>
      </c>
      <c r="C55" s="7" t="s">
        <v>13</v>
      </c>
      <c r="D55" s="7" t="s">
        <v>122</v>
      </c>
      <c r="E55" s="7"/>
      <c r="F55" s="12" t="s">
        <v>123</v>
      </c>
      <c r="G55" s="7" t="s">
        <v>24</v>
      </c>
      <c r="H55" s="9" t="s">
        <v>129</v>
      </c>
      <c r="I55" s="10" t="n">
        <f aca="false">IF(F55="","",COUNTIF($F$5:$F$63,F55))</f>
        <v>2</v>
      </c>
      <c r="J55" s="9"/>
    </row>
    <row r="56" customFormat="false" ht="15" hidden="false" customHeight="false" outlineLevel="0" collapsed="false">
      <c r="A56" s="7" t="n">
        <v>52</v>
      </c>
      <c r="B56" s="7" t="s">
        <v>125</v>
      </c>
      <c r="C56" s="7" t="s">
        <v>13</v>
      </c>
      <c r="D56" s="7" t="s">
        <v>130</v>
      </c>
      <c r="E56" s="7"/>
      <c r="F56" s="12" t="s">
        <v>131</v>
      </c>
      <c r="G56" s="7" t="s">
        <v>24</v>
      </c>
      <c r="H56" s="9" t="s">
        <v>132</v>
      </c>
      <c r="I56" s="10" t="n">
        <f aca="false">IF(F56="","",COUNTIF($F$5:$F$63,F56))</f>
        <v>1</v>
      </c>
      <c r="J56" s="9"/>
    </row>
    <row r="57" customFormat="false" ht="15" hidden="false" customHeight="false" outlineLevel="0" collapsed="false">
      <c r="A57" s="7" t="n">
        <v>53</v>
      </c>
      <c r="B57" s="7" t="s">
        <v>125</v>
      </c>
      <c r="C57" s="7" t="s">
        <v>13</v>
      </c>
      <c r="D57" s="7" t="s">
        <v>133</v>
      </c>
      <c r="E57" s="7"/>
      <c r="F57" s="12" t="s">
        <v>134</v>
      </c>
      <c r="G57" s="7" t="s">
        <v>24</v>
      </c>
      <c r="H57" s="9" t="s">
        <v>135</v>
      </c>
      <c r="I57" s="10" t="n">
        <f aca="false">IF(F57="","",COUNTIF($F$5:$F$63,F57))</f>
        <v>1</v>
      </c>
      <c r="J57" s="9"/>
    </row>
    <row r="58" customFormat="false" ht="15" hidden="false" customHeight="false" outlineLevel="0" collapsed="false">
      <c r="A58" s="7" t="n">
        <v>54</v>
      </c>
      <c r="B58" s="7" t="s">
        <v>125</v>
      </c>
      <c r="C58" s="7" t="s">
        <v>13</v>
      </c>
      <c r="D58" s="7" t="s">
        <v>136</v>
      </c>
      <c r="E58" s="7"/>
      <c r="F58" s="12" t="s">
        <v>137</v>
      </c>
      <c r="G58" s="7" t="s">
        <v>24</v>
      </c>
      <c r="H58" s="9" t="s">
        <v>138</v>
      </c>
      <c r="I58" s="10" t="n">
        <f aca="false">IF(F58="","",COUNTIF($F$5:$F$63,F58))</f>
        <v>1</v>
      </c>
      <c r="J58" s="9"/>
    </row>
    <row r="59" customFormat="false" ht="23.85" hidden="false" customHeight="false" outlineLevel="0" collapsed="false">
      <c r="A59" s="4" t="n">
        <v>55</v>
      </c>
      <c r="B59" s="4" t="s">
        <v>139</v>
      </c>
      <c r="C59" s="4" t="s">
        <v>13</v>
      </c>
      <c r="D59" s="4" t="s">
        <v>139</v>
      </c>
      <c r="E59" s="4"/>
      <c r="F59" s="4"/>
      <c r="G59" s="4" t="s">
        <v>14</v>
      </c>
      <c r="H59" s="5" t="s">
        <v>140</v>
      </c>
      <c r="I59" s="6" t="str">
        <f aca="false">IF(F59="","",COUNTIF($F$5:$F$63,F59))</f>
        <v/>
      </c>
      <c r="J59" s="5"/>
    </row>
    <row r="60" customFormat="false" ht="15" hidden="false" customHeight="false" outlineLevel="0" collapsed="false">
      <c r="A60" s="7" t="n">
        <v>56</v>
      </c>
      <c r="B60" s="7" t="s">
        <v>139</v>
      </c>
      <c r="C60" s="7" t="s">
        <v>13</v>
      </c>
      <c r="D60" s="7" t="s">
        <v>141</v>
      </c>
      <c r="E60" s="7"/>
      <c r="F60" s="12" t="s">
        <v>142</v>
      </c>
      <c r="G60" s="7" t="s">
        <v>24</v>
      </c>
      <c r="H60" s="9" t="s">
        <v>143</v>
      </c>
      <c r="I60" s="10" t="n">
        <f aca="false">IF(F60="","",COUNTIF($F$5:$F$63,F60))</f>
        <v>1</v>
      </c>
      <c r="J60" s="9"/>
    </row>
    <row r="61" customFormat="false" ht="23.85" hidden="false" customHeight="false" outlineLevel="0" collapsed="false">
      <c r="A61" s="7" t="n">
        <v>57</v>
      </c>
      <c r="B61" s="7" t="s">
        <v>139</v>
      </c>
      <c r="C61" s="7" t="s">
        <v>13</v>
      </c>
      <c r="D61" s="7" t="s">
        <v>144</v>
      </c>
      <c r="E61" s="7"/>
      <c r="F61" s="12" t="s">
        <v>145</v>
      </c>
      <c r="G61" s="7" t="s">
        <v>24</v>
      </c>
      <c r="H61" s="9" t="s">
        <v>146</v>
      </c>
      <c r="I61" s="10" t="n">
        <f aca="false">IF(F61="","",COUNTIF($F$5:$F$63,F61))</f>
        <v>1</v>
      </c>
      <c r="J61" s="9"/>
    </row>
    <row r="62" customFormat="false" ht="15" hidden="false" customHeight="false" outlineLevel="0" collapsed="false">
      <c r="A62" s="7" t="n">
        <v>58</v>
      </c>
      <c r="B62" s="7" t="s">
        <v>139</v>
      </c>
      <c r="C62" s="7" t="s">
        <v>13</v>
      </c>
      <c r="D62" s="7" t="s">
        <v>147</v>
      </c>
      <c r="E62" s="7"/>
      <c r="F62" s="12" t="s">
        <v>148</v>
      </c>
      <c r="G62" s="7" t="s">
        <v>24</v>
      </c>
      <c r="H62" s="9" t="s">
        <v>149</v>
      </c>
      <c r="I62" s="10" t="n">
        <f aca="false">IF(F62="","",COUNTIF($F$5:$F$63,F62))</f>
        <v>1</v>
      </c>
      <c r="J62" s="9"/>
    </row>
    <row r="63" customFormat="false" ht="15" hidden="false" customHeight="false" outlineLevel="0" collapsed="false">
      <c r="A63" s="4" t="n">
        <v>59</v>
      </c>
      <c r="B63" s="4" t="s">
        <v>150</v>
      </c>
      <c r="C63" s="4" t="s">
        <v>13</v>
      </c>
      <c r="D63" s="4" t="s">
        <v>150</v>
      </c>
      <c r="E63" s="4"/>
      <c r="F63" s="13" t="s">
        <v>151</v>
      </c>
      <c r="G63" s="4" t="s">
        <v>152</v>
      </c>
      <c r="H63" s="5"/>
      <c r="I63" s="6" t="n">
        <f aca="false">IF(F63="","",COUNTIF($F$5:$F$63,F63))</f>
        <v>1</v>
      </c>
      <c r="J63" s="5"/>
    </row>
    <row r="65" customFormat="false" ht="15" hidden="false" customHeight="false" outlineLevel="0" collapsed="false">
      <c r="D65" s="14" t="s">
        <v>153</v>
      </c>
      <c r="F65" s="15" t="n">
        <f aca="false">COUNTA(D5:D63)</f>
        <v>59</v>
      </c>
    </row>
    <row r="66" customFormat="false" ht="15" hidden="false" customHeight="false" outlineLevel="0" collapsed="false">
      <c r="D66" s="14" t="s">
        <v>154</v>
      </c>
      <c r="F66" s="15" t="n">
        <f aca="false">COUNTIF(F5:F63,"https*")</f>
        <v>53</v>
      </c>
    </row>
    <row r="67" customFormat="false" ht="15" hidden="false" customHeight="false" outlineLevel="0" collapsed="false">
      <c r="D67" s="14" t="s">
        <v>155</v>
      </c>
      <c r="F67" s="15" t="n">
        <f aca="false">SUMPRODUCT((F5:F63&lt;&gt;"")/COUNTIF(F5:F63,F5:F63&amp;""))</f>
        <v>50</v>
      </c>
    </row>
    <row r="68" customFormat="false" ht="15" hidden="false" customHeight="false" outlineLevel="0" collapsed="false">
      <c r="D68" s="14" t="s">
        <v>156</v>
      </c>
      <c r="F68" s="15" t="n">
        <f aca="false">COUNTIF(I5:I63,"&gt;1")</f>
        <v>5</v>
      </c>
    </row>
  </sheetData>
  <autoFilter ref="A4:J63"/>
  <conditionalFormatting sqref="A5:J63">
    <cfRule type="expression" priority="2" aboveAverage="0" equalAverage="0" bottom="0" percent="0" rank="0" text="" dxfId="8">
      <formula>AND($I5&lt;&gt;"",$I5&gt;1)</formula>
    </cfRule>
  </conditionalFormatting>
  <hyperlinks>
    <hyperlink ref="F7" r:id="rId1" display="https://mobidev.biz/services/ai-agent-development"/>
    <hyperlink ref="F8" r:id="rId2" display="https://mobidev.biz/services/ai-consulting"/>
    <hyperlink ref="F9" r:id="rId3" display="https://mobidev.biz/services/artificial-intelligence"/>
    <hyperlink ref="F10" r:id="rId4" display="https://mobidev.biz/services/human-pose-estimation-app-development"/>
    <hyperlink ref="F11" r:id="rId5" display="https://mobidev.biz/services/rapid-mvp-development"/>
    <hyperlink ref="F12" r:id="rId6" display="https://mobidev.biz/services/ai-agentic-testing"/>
    <hyperlink ref="F13" r:id="rId7" display="https://mobidev.biz/services/technology-consulting"/>
    <hyperlink ref="F14" r:id="rId8" display="https://mobidev.biz/services/data-science"/>
    <hyperlink ref="F15" r:id="rId9" display="https://mobidev.biz/services/machine-learning-consulting"/>
    <hyperlink ref="F16" r:id="rId10" display="https://mobidev.biz/services/ar-consulting"/>
    <hyperlink ref="F17" r:id="rId11" display="https://mobidev.biz/services/iot-development"/>
    <hyperlink ref="F18" r:id="rId12" display="https://mobidev.biz/services/devops-consulting-and-engineering"/>
    <hyperlink ref="F19" r:id="rId13" display="https://mobidev.biz/services/software-audit"/>
    <hyperlink ref="F20" r:id="rId14" display="https://mobidev.biz/services/ux-ui-design-audit"/>
    <hyperlink ref="F21" r:id="rId15" display="https://mobidev.biz/services/tech-strategy-consulting"/>
    <hyperlink ref="F22" r:id="rId16" display="https://mobidev.biz/services/software-engineering"/>
    <hyperlink ref="F23" r:id="rId17" display="https://mobidev.biz/services/dedicated-development-team"/>
    <hyperlink ref="F24" r:id="rId18" display="https://mobidev.biz/services/software-development-team-augmentation"/>
    <hyperlink ref="F25" r:id="rId19" display="https://mobidev.biz/services/augmented-reality"/>
    <hyperlink ref="F26" r:id="rId20" display="https://mobidev.biz/services/web-application-development"/>
    <hyperlink ref="F27" r:id="rId21" display="https://mobidev.biz/services/mobile-application-development"/>
    <hyperlink ref="F28" r:id="rId22" display="https://mobidev.biz/services/cloud-migration-modernization"/>
    <hyperlink ref="F29" r:id="rId23" display="https://mobidev.biz/services/ui-ux-design"/>
    <hyperlink ref="F30" r:id="rId24" display="https://mobidev.biz/services/qa-software-testing"/>
    <hyperlink ref="F32" r:id="rId25" display="https://mobidev.biz/services/software-product-development"/>
    <hyperlink ref="F33" r:id="rId26" display="https://mobidev.biz/services/scale-up-software-product"/>
    <hyperlink ref="F34" r:id="rId27" display="https://mobidev.biz/services/application-modernization"/>
    <hyperlink ref="F35" r:id="rId28" display="https://mobidev.biz/services/pos-software-development"/>
    <hyperlink ref="F36" r:id="rId29" display="https://mobidev.biz/services/erp-software-development"/>
    <hyperlink ref="F37" r:id="rId30" display="https://mobidev.biz/services/human-pose-estimation-app-development"/>
    <hyperlink ref="F39" r:id="rId31" display="https://mobidev.biz/services/retail-software-development"/>
    <hyperlink ref="F40" r:id="rId32" display="https://mobidev.biz/services/hospitality-software-development"/>
    <hyperlink ref="F41" r:id="rId33" display="https://mobidev.biz/services/sports-app-development"/>
    <hyperlink ref="F42" r:id="rId34" display="https://mobidev.biz/services/healthcare-app-development"/>
    <hyperlink ref="F43" r:id="rId35" display="https://mobidev.biz/services/manufacturing-software-development"/>
    <hyperlink ref="F44" r:id="rId36" display="https://mobidev.biz/services/fitness-app-development"/>
    <hyperlink ref="F45" r:id="rId37" display="https://mobidev.biz/services/human-pose-estimation-app-development"/>
    <hyperlink ref="F46" r:id="rId38" display="https://mobidev.biz/services/ai-fitness-app-development"/>
    <hyperlink ref="F47" r:id="rId39" display="https://mobidev.biz/services/workout-app-development"/>
    <hyperlink ref="F48" r:id="rId40" display="https://mobidev.biz/services/wearable-app-development"/>
    <hyperlink ref="F49" r:id="rId41" display="https://mobidev.biz/services/yoga-app-development"/>
    <hyperlink ref="F50" r:id="rId42" display="https://mobidev.biz/services/ai-fitness-coach-development"/>
    <hyperlink ref="F51" r:id="rId43" display="https://mobidev.biz/case-studies"/>
    <hyperlink ref="F52" r:id="rId44" display="https://mobidev.biz/clients-and-testimonials"/>
    <hyperlink ref="F54" r:id="rId45" display="https://mobidev.biz/our-team"/>
    <hyperlink ref="F55" r:id="rId46" display="https://mobidev.biz/clients-and-testimonials"/>
    <hyperlink ref="F56" r:id="rId47" display="https://mobidev.biz/meet-us-events"/>
    <hyperlink ref="F57" r:id="rId48" display="https://mobidev.biz/category/newsroom"/>
    <hyperlink ref="F58" r:id="rId49" display="https://mobidev.biz/vacancies"/>
    <hyperlink ref="F60" r:id="rId50" display="https://mobidev.biz/trends-and-insights"/>
    <hyperlink ref="F61" r:id="rId51" display="https://mobidev.biz/webinars"/>
    <hyperlink ref="F62" r:id="rId52" display="https://mobidev.biz/knowledge-hub"/>
    <hyperlink ref="F63" r:id="rId53" display="https://mobidev.biz/contact-u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2026-10-21T19:41:42Z</dcterms:created>
  <dc:creator>openpyxl</dc:creator>
  <dc:description/>
  <dc:language>en-US</dc:language>
  <cp:lastModifiedBy/>
  <dcterms:modified xsi:type="dcterms:W3CDTF">2026-10-21T19:41:42Z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